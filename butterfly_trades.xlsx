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 Belly Trad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<sst xmlns="http://schemas.openxmlformats.org/spreadsheetml/2006/main" count="65" uniqueCount="65">
  <si>
    <t>LONG BELLY  (Long $100M 5Y / Short $118.4M 2Y / Short $26.5M 10Y)</t>
  </si>
  <si>
    <t>SECTION 1 -- INPUT DATA</t>
  </si>
  <si>
    <t>SECTION 2 -- YIELD CHANGES</t>
  </si>
  <si>
    <t>SECTION 3 -- MtM P&amp;L</t>
  </si>
  <si>
    <t>SECTION 4 -- CARRY DETAIL</t>
  </si>
  <si>
    <t>SECTION 5 -- TOTAL</t>
  </si>
  <si>
    <t>Entry Date</t>
  </si>
  <si>
    <t>Entry
DGS2 (%)</t>
  </si>
  <si>
    <t>Entry
DGS5 (%)</t>
  </si>
  <si>
    <t>Entry
DGS10 (%)</t>
  </si>
  <si>
    <t>Entry Z
(&gt;= +2.0)</t>
  </si>
  <si>
    <t>Exit Date</t>
  </si>
  <si>
    <t>Exit
DGS2 (%)</t>
  </si>
  <si>
    <t>Exit
DGS5 (%)</t>
  </si>
  <si>
    <t>Exit
DGS10 (%)</t>
  </si>
  <si>
    <t>Exit Z
(&lt;= 0.0)</t>
  </si>
  <si>
    <t>Hold
Days</t>
  </si>
  <si>
    <t>Avg SOFR
(%)</t>
  </si>
  <si>
    <t>Actual Avg
Daily Carry $</t>
  </si>
  <si>
    <t>dDGS2 bps
=(G-B)*100</t>
  </si>
  <si>
    <t>dDGS5 bps
=(H-C)*100</t>
  </si>
  <si>
    <t>dDGS10 bps
=(I-D)*100</t>
  </si>
  <si>
    <t>Bfly Chg bps
=2*O-N-P</t>
  </si>
  <si>
    <t>Belly DV01
[=$45,000]</t>
  </si>
  <si>
    <t>Wing DV01
[=$22,500]</t>
  </si>
  <si>
    <t>Entry Bfly
=2*C-B-D</t>
  </si>
  <si>
    <t>Exit Bfly
=2*H-G-I</t>
  </si>
  <si>
    <t>Leg 5Y P&amp;L
=-DV01b*dDGS5</t>
  </si>
  <si>
    <t>Leg 2Y P&amp;L
=+DV01w*dDGS2</t>
  </si>
  <si>
    <t>Leg 10Y P&amp;L
=+DV01w*dDGS10</t>
  </si>
  <si>
    <t>Legs Sum
=V+W+X</t>
  </si>
  <si>
    <t>MtM P&amp;L
=-DV01w*BflyCh</t>
  </si>
  <si>
    <t>Belly Notl
[$100M]</t>
  </si>
  <si>
    <t>2Y Notl
[$118.42M]</t>
  </si>
  <si>
    <t>10Y Notl
[$26.47M]</t>
  </si>
  <si>
    <t>Belly Carry/d
=(Y5-SOFR)*N5/360</t>
  </si>
  <si>
    <t>2Y Carry/d
=(SOFR-Y2)*N2/360</t>
  </si>
  <si>
    <t>10Y Carry/d
=(SOFR-Y10)*N10/360</t>
  </si>
  <si>
    <t>Entry-Day
Carry Approx/d</t>
  </si>
  <si>
    <t>Carry P&amp;L
=M*K</t>
  </si>
  <si>
    <t>Total P&amp;L
=Z+AH</t>
  </si>
  <si>
    <t>W/L</t>
  </si>
  <si>
    <t>2016-11-18</t>
  </si>
  <si>
    <t>2017-04-18</t>
  </si>
  <si>
    <t>2019-12-06</t>
  </si>
  <si>
    <t>2020-02-24</t>
  </si>
  <si>
    <t>2020-03-06</t>
  </si>
  <si>
    <t>2020-05-08</t>
  </si>
  <si>
    <t>2021-02-26</t>
  </si>
  <si>
    <t>2022-03-01</t>
  </si>
  <si>
    <t>2024-04-11</t>
  </si>
  <si>
    <t>2024-06-06</t>
  </si>
  <si>
    <t>2024-10-09</t>
  </si>
  <si>
    <t>2025-04-03</t>
  </si>
  <si>
    <t>NOTE: Section 2-5 cells contain live Excel formulas (visible in formula bar) with pre-computed cached values that display immediately. Press F9 to force recalculate.</t>
  </si>
  <si>
    <t>STRATEGY SUMMARY  --  Treasury Butterfly Long Belly Mean-Reversion</t>
  </si>
  <si>
    <t>Metric</t>
  </si>
  <si>
    <t>Long Belly</t>
  </si>
  <si>
    <t>Jun 2016 - Jun 2026</t>
  </si>
  <si>
    <t>Total trades</t>
  </si>
  <si>
    <t>Winning trades</t>
  </si>
  <si>
    <t>Losing trades</t>
  </si>
  <si>
    <t>Total MtM P&amp;L ($)</t>
  </si>
  <si>
    <t>Total Carry P&amp;L ($)</t>
  </si>
  <si>
    <t>Total P&amp;L ($)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</si>
</sst>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"/>
    <numFmt numFmtId="166" formatCode="0.0"/>
    <numFmt numFmtId="167" formatCode="0.000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  <font>
      <i/>
      <sz val="11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66" fontId="3" fillId="4" borderId="1" xfId="0" applyNumberFormat="1" applyFont="1" applyFill="1" applyBorder="1"/>
    <xf numFmtId="165" fontId="0" fillId="5" borderId="1" xfId="0" applyNumberFormat="1" applyFill="1" applyBorder="1"/>
    <xf numFmtId="167" fontId="3" fillId="4" borderId="1" xfId="0" applyNumberFormat="1" applyFont="1" applyFill="1" applyBorder="1"/>
    <xf numFmtId="165" fontId="3" fillId="5" borderId="1" xfId="0" applyNumberFormat="1" applyFont="1" applyFill="1" applyBorder="1"/>
    <xf numFmtId="165" fontId="0" fillId="6" borderId="1" xfId="0" applyNumberFormat="1" applyFill="1" applyBorder="1"/>
    <xf numFmtId="165" fontId="3" fillId="6" borderId="1" xfId="0" applyNumberFormat="1" applyFont="1" applyFill="1" applyBorder="1"/>
    <xf numFmtId="165" fontId="3" fillId="8" borderId="1" xfId="0" applyNumberFormat="1" applyFont="1" applyFill="1" applyBorder="1"/>
    <xf numFmtId="0" fontId="4" fillId="8" borderId="1" xfId="0" applyFont="1" applyFill="1" applyBorder="1" applyAlignment="1">
      <alignment horizontal="center"/>
    </xf>
    <xf numFmtId="165" fontId="3" fillId="9" borderId="1" xfId="0" applyNumberFormat="1" applyFont="1" applyFill="1" applyBorder="1"/>
    <xf numFmtId="0" fontId="4" fillId="9" borderId="1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1" fillId="1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right"/>
    </xf>
    <xf numFmtId="165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3.7109375" customWidth="1"/>
    <col min="2" max="5" width="10.7109375" customWidth="1"/>
    <col min="6" max="6" width="13.7109375" customWidth="1"/>
    <col min="7" max="10" width="10.7109375" customWidth="1"/>
    <col min="11" max="11" width="8.7109375" customWidth="1"/>
    <col min="12" max="12" width="10.7109375" customWidth="1"/>
    <col min="13" max="13" width="14.7109375" customWidth="1"/>
    <col min="14" max="16" width="11.7109375" customWidth="1"/>
    <col min="17" max="17" width="14.7109375" customWidth="1"/>
    <col min="18" max="19" width="12.7109375" customWidth="1"/>
    <col min="20" max="29" width="14.7109375" customWidth="1"/>
    <col min="30" max="34" width="16.7109375" customWidth="1"/>
    <col min="35" max="36" width="14.7109375" customWidth="1"/>
  </cols>
  <sheetData>
    <row r="1" spans="1:36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4" t="s">
        <v>3</v>
      </c>
      <c r="S2" s="4"/>
      <c r="T2" s="4"/>
      <c r="U2" s="4"/>
      <c r="V2" s="4"/>
      <c r="W2" s="4"/>
      <c r="X2" s="4"/>
      <c r="Y2" s="4"/>
      <c r="Z2" s="4"/>
      <c r="AA2" s="5" t="s">
        <v>4</v>
      </c>
      <c r="AB2" s="5"/>
      <c r="AC2" s="5"/>
      <c r="AD2" s="5"/>
      <c r="AE2" s="5"/>
      <c r="AF2" s="5"/>
      <c r="AG2" s="5"/>
      <c r="AH2" s="5"/>
      <c r="AI2" s="6" t="s">
        <v>5</v>
      </c>
      <c r="AJ2" s="6"/>
    </row>
    <row r="3" spans="1:36" ht="56" customHeight="1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7" t="s">
        <v>16</v>
      </c>
      <c r="L3" s="7" t="s">
        <v>17</v>
      </c>
      <c r="M3" s="7" t="s">
        <v>18</v>
      </c>
      <c r="N3" s="8" t="s">
        <v>19</v>
      </c>
      <c r="O3" s="8" t="s">
        <v>20</v>
      </c>
      <c r="P3" s="8" t="s">
        <v>21</v>
      </c>
      <c r="Q3" s="8" t="s">
        <v>22</v>
      </c>
      <c r="R3" s="9" t="s">
        <v>23</v>
      </c>
      <c r="S3" s="9" t="s">
        <v>24</v>
      </c>
      <c r="T3" s="8" t="s">
        <v>25</v>
      </c>
      <c r="U3" s="8" t="s">
        <v>26</v>
      </c>
      <c r="V3" s="9" t="s">
        <v>27</v>
      </c>
      <c r="W3" s="9" t="s">
        <v>28</v>
      </c>
      <c r="X3" s="9" t="s">
        <v>29</v>
      </c>
      <c r="Y3" s="9" t="s">
        <v>30</v>
      </c>
      <c r="Z3" s="9" t="s">
        <v>31</v>
      </c>
      <c r="AA3" s="10" t="s">
        <v>32</v>
      </c>
      <c r="AB3" s="10" t="s">
        <v>33</v>
      </c>
      <c r="AC3" s="10" t="s">
        <v>34</v>
      </c>
      <c r="AD3" s="10" t="s">
        <v>35</v>
      </c>
      <c r="AE3" s="10" t="s">
        <v>36</v>
      </c>
      <c r="AF3" s="10" t="s">
        <v>37</v>
      </c>
      <c r="AG3" s="10" t="s">
        <v>38</v>
      </c>
      <c r="AH3" s="10" t="s">
        <v>39</v>
      </c>
      <c r="AI3" s="11" t="s">
        <v>40</v>
      </c>
      <c r="AJ3" s="11" t="s">
        <v>41</v>
      </c>
    </row>
    <row r="4" spans="1:36">
      <c r="A4" s="12" t="s">
        <v>42</v>
      </c>
      <c r="B4" s="13">
        <v>1.07</v>
      </c>
      <c r="C4" s="13">
        <v>1.8</v>
      </c>
      <c r="D4" s="13">
        <v>2.34</v>
      </c>
      <c r="E4" s="13">
        <v>2.332</v>
      </c>
      <c r="F4" s="12" t="s">
        <v>43</v>
      </c>
      <c r="G4" s="13">
        <v>1.18</v>
      </c>
      <c r="H4" s="13">
        <v>1.71</v>
      </c>
      <c r="I4" s="13">
        <v>2.18</v>
      </c>
      <c r="J4" s="13">
        <v>0</v>
      </c>
      <c r="K4" s="12">
        <v>101</v>
      </c>
      <c r="L4" s="13">
        <v>0.665</v>
      </c>
      <c r="M4" s="14">
        <v>376</v>
      </c>
      <c r="N4" s="15">
        <f>(G4-B4)*100</f>
        <v>11.0</v>
      </c>
      <c r="O4" s="15">
        <f>(H4-C4)*100</f>
        <v>-9.0</v>
      </c>
      <c r="P4" s="15">
        <f>(I4-D4)*100</f>
        <v>-16.0</v>
      </c>
      <c r="Q4" s="15">
        <f>2*O4-N4-P4</f>
        <v>-13.0</v>
      </c>
      <c r="R4" s="16">
        <v>45000</v>
      </c>
      <c r="S4" s="16">
        <v>22500</v>
      </c>
      <c r="T4" s="17">
        <f>2*C4-B4-D4</f>
        <v>0.19</v>
      </c>
      <c r="U4" s="17">
        <f>2*H4-G4-I4</f>
        <v>0.06</v>
      </c>
      <c r="V4" s="18">
        <f>-R4*O4</f>
        <v>405000.0</v>
      </c>
      <c r="W4" s="18">
        <f>+S4*N4</f>
        <v>247500.0</v>
      </c>
      <c r="X4" s="18">
        <f>+S4*P4</f>
        <v>-360000.0</v>
      </c>
      <c r="Y4" s="18">
        <f>V4+W4+X4</f>
        <v>292500.0</v>
      </c>
      <c r="Z4" s="18">
        <f>-S4*Q4</f>
        <v>292500.0</v>
      </c>
      <c r="AA4" s="19">
        <v>100000000</v>
      </c>
      <c r="AB4" s="19">
        <v>118420000</v>
      </c>
      <c r="AC4" s="19">
        <v>26470000</v>
      </c>
      <c r="AD4" s="20">
        <f>(C4/100-L4/100)*AA4/360</f>
        <v>3153</v>
      </c>
      <c r="AE4" s="20">
        <f>(L4/100-B4/100)*AB4/360</f>
        <v>-1332</v>
      </c>
      <c r="AF4" s="20">
        <f>(L4/100-D4/100)*AC4/360</f>
        <v>-1232</v>
      </c>
      <c r="AG4" s="20">
        <f>AD4+AE4+AF4</f>
        <v>589</v>
      </c>
      <c r="AH4" s="20">
        <f>M4*K4</f>
        <v>37943.0</v>
      </c>
      <c r="AI4" s="21">
        <f>Z4+AH4</f>
        <v>330443.0</v>
      </c>
      <c r="AJ4" s="22" t="str">
        <f>IF(AI4&gt;0,"Y","N")</f>
        <v>Y</v>
      </c>
    </row>
    <row r="5" spans="1:36">
      <c r="A5" s="12" t="s">
        <v>44</v>
      </c>
      <c r="B5" s="13">
        <v>1.61</v>
      </c>
      <c r="C5" s="13">
        <v>1.67</v>
      </c>
      <c r="D5" s="13">
        <v>1.84</v>
      </c>
      <c r="E5" s="13">
        <v>2.573</v>
      </c>
      <c r="F5" s="12" t="s">
        <v>45</v>
      </c>
      <c r="G5" s="13">
        <v>1.26</v>
      </c>
      <c r="H5" s="13">
        <v>1.21</v>
      </c>
      <c r="I5" s="13">
        <v>1.38</v>
      </c>
      <c r="J5" s="13">
        <v>-0.436</v>
      </c>
      <c r="K5" s="12">
        <v>52</v>
      </c>
      <c r="L5" s="13">
        <v>1.556</v>
      </c>
      <c r="M5" s="14">
        <v>-9</v>
      </c>
      <c r="N5" s="15">
        <f>(G5-B5)*100</f>
        <v>-35.0</v>
      </c>
      <c r="O5" s="15">
        <f>(H5-C5)*100</f>
        <v>-46.0</v>
      </c>
      <c r="P5" s="15">
        <f>(I5-D5)*100</f>
        <v>-46.0</v>
      </c>
      <c r="Q5" s="15">
        <f>2*O5-N5-P5</f>
        <v>-11.0</v>
      </c>
      <c r="R5" s="16">
        <v>45000</v>
      </c>
      <c r="S5" s="16">
        <v>22500</v>
      </c>
      <c r="T5" s="17">
        <f>2*C5-B5-D5</f>
        <v>-0.11</v>
      </c>
      <c r="U5" s="17">
        <f>2*H5-G5-I5</f>
        <v>-0.22</v>
      </c>
      <c r="V5" s="18">
        <f>-R5*O5</f>
        <v>2070000.0</v>
      </c>
      <c r="W5" s="18">
        <f>+S5*N5</f>
        <v>-787500.0</v>
      </c>
      <c r="X5" s="18">
        <f>+S5*P5</f>
        <v>-1035000.0</v>
      </c>
      <c r="Y5" s="18">
        <f>V5+W5+X5</f>
        <v>247500.0</v>
      </c>
      <c r="Z5" s="18">
        <f>-S5*Q5</f>
        <v>247500.0</v>
      </c>
      <c r="AA5" s="19">
        <v>100000000</v>
      </c>
      <c r="AB5" s="19">
        <v>118420000</v>
      </c>
      <c r="AC5" s="19">
        <v>26470000</v>
      </c>
      <c r="AD5" s="20">
        <f>(C5/100-L5/100)*AA5/360</f>
        <v>317</v>
      </c>
      <c r="AE5" s="20">
        <f>(L5/100-B5/100)*AB5/360</f>
        <v>-178</v>
      </c>
      <c r="AF5" s="20">
        <f>(L5/100-D5/100)*AC5/360</f>
        <v>-209</v>
      </c>
      <c r="AG5" s="20">
        <f>AD5+AE5+AF5</f>
        <v>-70</v>
      </c>
      <c r="AH5" s="20">
        <f>M5*K5</f>
        <v>-465.0</v>
      </c>
      <c r="AI5" s="21">
        <f>Z5+AH5</f>
        <v>247035.0</v>
      </c>
      <c r="AJ5" s="22" t="str">
        <f>IF(AI5&gt;0,"Y","N")</f>
        <v>Y</v>
      </c>
    </row>
    <row r="6" spans="1:36">
      <c r="A6" s="12" t="s">
        <v>46</v>
      </c>
      <c r="B6" s="13">
        <v>0.49</v>
      </c>
      <c r="C6" s="13">
        <v>0.58</v>
      </c>
      <c r="D6" s="13">
        <v>0.74</v>
      </c>
      <c r="E6" s="13">
        <v>2.811</v>
      </c>
      <c r="F6" s="12" t="s">
        <v>47</v>
      </c>
      <c r="G6" s="13">
        <v>0.16</v>
      </c>
      <c r="H6" s="13">
        <v>0.33</v>
      </c>
      <c r="I6" s="13">
        <v>0.6899999999999999</v>
      </c>
      <c r="J6" s="13">
        <v>-0.153</v>
      </c>
      <c r="K6" s="12">
        <v>44</v>
      </c>
      <c r="L6" s="13">
        <v>0.192</v>
      </c>
      <c r="M6" s="14">
        <v>9</v>
      </c>
      <c r="N6" s="15">
        <f>(G6-B6)*100</f>
        <v>-33.0</v>
      </c>
      <c r="O6" s="15">
        <f>(H6-C6)*100</f>
        <v>-25.0</v>
      </c>
      <c r="P6" s="15">
        <f>(I6-D6)*100</f>
        <v>-5.0</v>
      </c>
      <c r="Q6" s="15">
        <f>2*O6-N6-P6</f>
        <v>-12.0</v>
      </c>
      <c r="R6" s="16">
        <v>45000</v>
      </c>
      <c r="S6" s="16">
        <v>22500</v>
      </c>
      <c r="T6" s="17">
        <f>2*C6-B6-D6</f>
        <v>-0.07</v>
      </c>
      <c r="U6" s="17">
        <f>2*H6-G6-I6</f>
        <v>-0.19</v>
      </c>
      <c r="V6" s="18">
        <f>-R6*O6</f>
        <v>1125000.0</v>
      </c>
      <c r="W6" s="18">
        <f>+S6*N6</f>
        <v>-742500.0</v>
      </c>
      <c r="X6" s="18">
        <f>+S6*P6</f>
        <v>-112500.0</v>
      </c>
      <c r="Y6" s="18">
        <f>V6+W6+X6</f>
        <v>270000.0</v>
      </c>
      <c r="Z6" s="18">
        <f>-S6*Q6</f>
        <v>270000.0</v>
      </c>
      <c r="AA6" s="19">
        <v>100000000</v>
      </c>
      <c r="AB6" s="19">
        <v>118420000</v>
      </c>
      <c r="AC6" s="19">
        <v>26470000</v>
      </c>
      <c r="AD6" s="20">
        <f>(C6/100-L6/100)*AA6/360</f>
        <v>1078</v>
      </c>
      <c r="AE6" s="20">
        <f>(L6/100-B6/100)*AB6/360</f>
        <v>-980</v>
      </c>
      <c r="AF6" s="20">
        <f>(L6/100-D6/100)*AC6/360</f>
        <v>-403</v>
      </c>
      <c r="AG6" s="20">
        <f>AD6+AE6+AF6</f>
        <v>-305</v>
      </c>
      <c r="AH6" s="20">
        <f>M6*K6</f>
        <v>400.0</v>
      </c>
      <c r="AI6" s="21">
        <f>Z6+AH6</f>
        <v>270400.0</v>
      </c>
      <c r="AJ6" s="22" t="str">
        <f>IF(AI6&gt;0,"Y","N")</f>
        <v>Y</v>
      </c>
    </row>
    <row r="7" spans="1:36">
      <c r="A7" s="12" t="s">
        <v>48</v>
      </c>
      <c r="B7" s="13">
        <v>0.14</v>
      </c>
      <c r="C7" s="13">
        <v>0.75</v>
      </c>
      <c r="D7" s="13">
        <v>1.44</v>
      </c>
      <c r="E7" s="13">
        <v>2.057</v>
      </c>
      <c r="F7" s="12" t="s">
        <v>49</v>
      </c>
      <c r="G7" s="13">
        <v>1.31</v>
      </c>
      <c r="H7" s="13">
        <v>1.56</v>
      </c>
      <c r="I7" s="13">
        <v>1.72</v>
      </c>
      <c r="J7" s="13">
        <v>-0.058</v>
      </c>
      <c r="K7" s="12">
        <v>253</v>
      </c>
      <c r="L7" s="13">
        <v>0.038</v>
      </c>
      <c r="M7" s="14">
        <v>379</v>
      </c>
      <c r="N7" s="15">
        <f>(G7-B7)*100</f>
        <v>117.0</v>
      </c>
      <c r="O7" s="15">
        <f>(H7-C7)*100</f>
        <v>81.0</v>
      </c>
      <c r="P7" s="15">
        <f>(I7-D7)*100</f>
        <v>28.0</v>
      </c>
      <c r="Q7" s="15">
        <f>2*O7-N7-P7</f>
        <v>17.0</v>
      </c>
      <c r="R7" s="16">
        <v>45000</v>
      </c>
      <c r="S7" s="16">
        <v>22500</v>
      </c>
      <c r="T7" s="17">
        <f>2*C7-B7-D7</f>
        <v>-0.08</v>
      </c>
      <c r="U7" s="17">
        <f>2*H7-G7-I7</f>
        <v>0.09</v>
      </c>
      <c r="V7" s="18">
        <f>-R7*O7</f>
        <v>-3645000.0</v>
      </c>
      <c r="W7" s="18">
        <f>+S7*N7</f>
        <v>2632500.0</v>
      </c>
      <c r="X7" s="18">
        <f>+S7*P7</f>
        <v>630000.0</v>
      </c>
      <c r="Y7" s="18">
        <f>V7+W7+X7</f>
        <v>-382500.0</v>
      </c>
      <c r="Z7" s="18">
        <f>-S7*Q7</f>
        <v>-382500.0</v>
      </c>
      <c r="AA7" s="19">
        <v>100000000</v>
      </c>
      <c r="AB7" s="19">
        <v>118420000</v>
      </c>
      <c r="AC7" s="19">
        <v>26470000</v>
      </c>
      <c r="AD7" s="20">
        <f>(C7/100-L7/100)*AA7/360</f>
        <v>1978</v>
      </c>
      <c r="AE7" s="20">
        <f>(L7/100-B7/100)*AB7/360</f>
        <v>-336</v>
      </c>
      <c r="AF7" s="20">
        <f>(L7/100-D7/100)*AC7/360</f>
        <v>-1031</v>
      </c>
      <c r="AG7" s="20">
        <f>AD7+AE7+AF7</f>
        <v>611</v>
      </c>
      <c r="AH7" s="20">
        <f>M7*K7</f>
        <v>95867.0</v>
      </c>
      <c r="AI7" s="23">
        <f>Z7+AH7</f>
        <v>-286633.0</v>
      </c>
      <c r="AJ7" s="24" t="str">
        <f>IF(AI7&gt;0,"Y","N")</f>
        <v>N</v>
      </c>
    </row>
    <row r="8" spans="1:36">
      <c r="A8" s="12" t="s">
        <v>50</v>
      </c>
      <c r="B8" s="13">
        <v>4.93</v>
      </c>
      <c r="C8" s="13">
        <v>4.61</v>
      </c>
      <c r="D8" s="13">
        <v>4.56</v>
      </c>
      <c r="E8" s="13">
        <v>2.307</v>
      </c>
      <c r="F8" s="12" t="s">
        <v>51</v>
      </c>
      <c r="G8" s="13">
        <v>4.72</v>
      </c>
      <c r="H8" s="13">
        <v>4.29</v>
      </c>
      <c r="I8" s="13">
        <v>4.28</v>
      </c>
      <c r="J8" s="13">
        <v>-0.266</v>
      </c>
      <c r="K8" s="12">
        <v>39</v>
      </c>
      <c r="L8" s="13">
        <v>5.316</v>
      </c>
      <c r="M8" s="14">
        <v>-135</v>
      </c>
      <c r="N8" s="15">
        <f>(G8-B8)*100</f>
        <v>-21.0</v>
      </c>
      <c r="O8" s="15">
        <f>(H8-C8)*100</f>
        <v>-32.0</v>
      </c>
      <c r="P8" s="15">
        <f>(I8-D8)*100</f>
        <v>-28.0</v>
      </c>
      <c r="Q8" s="15">
        <f>2*O8-N8-P8</f>
        <v>-15.0</v>
      </c>
      <c r="R8" s="16">
        <v>45000</v>
      </c>
      <c r="S8" s="16">
        <v>22500</v>
      </c>
      <c r="T8" s="17">
        <f>2*C8-B8-D8</f>
        <v>-0.27</v>
      </c>
      <c r="U8" s="17">
        <f>2*H8-G8-I8</f>
        <v>-0.42</v>
      </c>
      <c r="V8" s="18">
        <f>-R8*O8</f>
        <v>1440000.0</v>
      </c>
      <c r="W8" s="18">
        <f>+S8*N8</f>
        <v>-472500.0</v>
      </c>
      <c r="X8" s="18">
        <f>+S8*P8</f>
        <v>-630000.0</v>
      </c>
      <c r="Y8" s="18">
        <f>V8+W8+X8</f>
        <v>337500.0</v>
      </c>
      <c r="Z8" s="18">
        <f>-S8*Q8</f>
        <v>337500.0</v>
      </c>
      <c r="AA8" s="19">
        <v>100000000</v>
      </c>
      <c r="AB8" s="19">
        <v>118420000</v>
      </c>
      <c r="AC8" s="19">
        <v>26470000</v>
      </c>
      <c r="AD8" s="20">
        <f>(C8/100-L8/100)*AA8/360</f>
        <v>-1961</v>
      </c>
      <c r="AE8" s="20">
        <f>(L8/100-B8/100)*AB8/360</f>
        <v>1270</v>
      </c>
      <c r="AF8" s="20">
        <f>(L8/100-D8/100)*AC8/360</f>
        <v>556</v>
      </c>
      <c r="AG8" s="20">
        <f>AD8+AE8+AF8</f>
        <v>-136</v>
      </c>
      <c r="AH8" s="20">
        <f>M8*K8</f>
        <v>-5283.0</v>
      </c>
      <c r="AI8" s="21">
        <f>Z8+AH8</f>
        <v>332217.0</v>
      </c>
      <c r="AJ8" s="22" t="str">
        <f>IF(AI8&gt;0,"Y","N")</f>
        <v>Y</v>
      </c>
    </row>
    <row r="9" spans="1:36">
      <c r="A9" s="12" t="s">
        <v>52</v>
      </c>
      <c r="B9" s="13">
        <v>3.99</v>
      </c>
      <c r="C9" s="13">
        <v>3.91</v>
      </c>
      <c r="D9" s="13">
        <v>4.06</v>
      </c>
      <c r="E9" s="13">
        <v>2.527</v>
      </c>
      <c r="F9" s="12" t="s">
        <v>53</v>
      </c>
      <c r="G9" s="13">
        <v>3.71</v>
      </c>
      <c r="H9" s="13">
        <v>3.75</v>
      </c>
      <c r="I9" s="13">
        <v>4.06</v>
      </c>
      <c r="J9" s="13">
        <v>-0.103</v>
      </c>
      <c r="K9" s="12">
        <v>119</v>
      </c>
      <c r="L9" s="13">
        <v>4.484</v>
      </c>
      <c r="M9" s="14">
        <v>368</v>
      </c>
      <c r="N9" s="15">
        <f>(G9-B9)*100</f>
        <v>-28.0</v>
      </c>
      <c r="O9" s="15">
        <f>(H9-C9)*100</f>
        <v>-16.0</v>
      </c>
      <c r="P9" s="15">
        <f>(I9-D9)*100</f>
        <v>0.0</v>
      </c>
      <c r="Q9" s="15">
        <f>2*O9-N9-P9</f>
        <v>-4.0</v>
      </c>
      <c r="R9" s="16">
        <v>45000</v>
      </c>
      <c r="S9" s="16">
        <v>22500</v>
      </c>
      <c r="T9" s="17">
        <f>2*C9-B9-D9</f>
        <v>-0.23</v>
      </c>
      <c r="U9" s="17">
        <f>2*H9-G9-I9</f>
        <v>-0.27</v>
      </c>
      <c r="V9" s="18">
        <f>-R9*O9</f>
        <v>720000.0</v>
      </c>
      <c r="W9" s="18">
        <f>+S9*N9</f>
        <v>-630000.0</v>
      </c>
      <c r="X9" s="18">
        <f>+S9*P9</f>
        <v>0.0</v>
      </c>
      <c r="Y9" s="18">
        <f>V9+W9+X9</f>
        <v>90000.0</v>
      </c>
      <c r="Z9" s="18">
        <f>-S9*Q9</f>
        <v>90000.0</v>
      </c>
      <c r="AA9" s="19">
        <v>100000000</v>
      </c>
      <c r="AB9" s="19">
        <v>118420000</v>
      </c>
      <c r="AC9" s="19">
        <v>26470000</v>
      </c>
      <c r="AD9" s="20">
        <f>(C9/100-L9/100)*AA9/360</f>
        <v>-1594</v>
      </c>
      <c r="AE9" s="20">
        <f>(L9/100-B9/100)*AB9/360</f>
        <v>1625</v>
      </c>
      <c r="AF9" s="20">
        <f>(L9/100-D9/100)*AC9/360</f>
        <v>312</v>
      </c>
      <c r="AG9" s="20">
        <f>AD9+AE9+AF9</f>
        <v>342</v>
      </c>
      <c r="AH9" s="20">
        <f>M9*K9</f>
        <v>43752.0</v>
      </c>
      <c r="AI9" s="21">
        <f>Z9+AH9</f>
        <v>133752.0</v>
      </c>
      <c r="AJ9" s="22" t="str">
        <f>IF(AI9&gt;0,"Y","N")</f>
        <v>Y</v>
      </c>
    </row>
    <row r="10" spans="1:36" ht="28" customHeight="1">
      <c r="A10" s="25" t="s">
        <v>54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</row>
  </sheetData>
  <mergeCells count="7">
    <mergeCell ref="A1:AJ1"/>
    <mergeCell ref="A2:M2"/>
    <mergeCell ref="N2:Q2"/>
    <mergeCell ref="R2:Z2"/>
    <mergeCell ref="AA2:AH2"/>
    <mergeCell ref="AI2:AJ2"/>
    <mergeCell ref="A10:M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34.7109375" customWidth="1"/>
    <col min="2" max="3" width="20.7109375" customWidth="1"/>
  </cols>
  <sheetData>
    <row r="1" spans="1:3">
      <c r="A1" s="26" t="s">
        <v>55</v>
      </c>
      <c r="B1" s="26"/>
      <c r="C1" s="26"/>
    </row>
    <row r="2" spans="1:3">
      <c r="A2" s="26" t="s">
        <v>56</v>
      </c>
      <c r="B2" s="27" t="s">
        <v>57</v>
      </c>
      <c r="C2" s="26" t="s">
        <v>58</v>
      </c>
    </row>
    <row r="3" spans="1:3">
      <c r="A3" s="28" t="s">
        <v>59</v>
      </c>
      <c r="B3" s="28">
        <v>6</v>
      </c>
      <c r="C3" s="28"/>
    </row>
    <row r="4" spans="1:3">
      <c r="A4" s="28" t="s">
        <v>60</v>
      </c>
      <c r="B4" s="28">
        <v>5</v>
      </c>
      <c r="C4" s="28"/>
    </row>
    <row r="5" spans="1:3">
      <c r="A5" s="28" t="s">
        <v>61</v>
      </c>
      <c r="B5" s="28">
        <v>1</v>
      </c>
      <c r="C5" s="28"/>
    </row>
    <row r="6" spans="1:3">
      <c r="A6" s="28" t="s">
        <v>62</v>
      </c>
      <c r="B6" s="29">
        <v>855000</v>
      </c>
      <c r="C6" s="28"/>
    </row>
    <row r="7" spans="1:3">
      <c r="A7" s="28" t="s">
        <v>63</v>
      </c>
      <c r="B7" s="29">
        <v>172214</v>
      </c>
      <c r="C7" s="28"/>
    </row>
    <row r="8" spans="1:3">
      <c r="A8" s="28" t="s">
        <v>64</v>
      </c>
      <c r="B8" s="30">
        <v>1027214</v>
      </c>
      <c r="C8" s="28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 Belly Trades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2026-06-21T01:50:18Z</dcterms:created>
  <dcterms:modified xsi:type="dcterms:W3CDTF">2026-06-21T01:50:18Z</dcterms:modified>
</cp:coreProperties>
</file>